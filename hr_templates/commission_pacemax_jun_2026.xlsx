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<sst xmlns="http://schemas.openxmlformats.org/spreadsheetml/2006/main" uniqueCount="117">
  <si>
    <t>รหัส</t>
  </si>
  <si>
    <t>รายชื่อ</t>
  </si>
  <si>
    <t>สาขา</t>
  </si>
  <si>
    <t>แผนก</t>
  </si>
  <si>
    <t>ตำแหน่ง</t>
  </si>
  <si>
    <t>Commission</t>
  </si>
  <si>
    <t>รวมรายได้</t>
  </si>
  <si>
    <t>003</t>
  </si>
  <si>
    <t>นายศุภกร มุ่งมานะ</t>
  </si>
  <si>
    <t>สำนักงานใหญ่</t>
  </si>
  <si>
    <t>Service</t>
  </si>
  <si>
    <t>Service and Store Manager</t>
  </si>
  <si>
    <t>006</t>
  </si>
  <si>
    <t>นางสุนันทา ชัยรัตน์</t>
  </si>
  <si>
    <t>General Affair</t>
  </si>
  <si>
    <t>Housekeeping</t>
  </si>
  <si>
    <t>009</t>
  </si>
  <si>
    <t>นางสาววรรณิษา แป้นไพศาล</t>
  </si>
  <si>
    <t>Marketing</t>
  </si>
  <si>
    <t>Event Marketing Manager</t>
  </si>
  <si>
    <t>012</t>
  </si>
  <si>
    <t>นายคณพศ ธรรมดี</t>
  </si>
  <si>
    <t>Executive Driver</t>
  </si>
  <si>
    <t>016</t>
  </si>
  <si>
    <t>นายชานนท์ ชุ่มใจ</t>
  </si>
  <si>
    <t>Sales</t>
  </si>
  <si>
    <t>Sales Representative</t>
  </si>
  <si>
    <t>017</t>
  </si>
  <si>
    <t>นางสาวพิมชนก วรรณวโรทร</t>
  </si>
  <si>
    <t>Sales Administrative</t>
  </si>
  <si>
    <t>018</t>
  </si>
  <si>
    <t>นายกิตติพงษ์ ดลประดิษฐ์</t>
  </si>
  <si>
    <t>Mechanic</t>
  </si>
  <si>
    <t>020</t>
  </si>
  <si>
    <t>นายรณกร มะลิลา</t>
  </si>
  <si>
    <t>Content Creator</t>
  </si>
  <si>
    <t>021</t>
  </si>
  <si>
    <t>นายพุทธินัฐ สินทรัพย์</t>
  </si>
  <si>
    <t>Product Specialist</t>
  </si>
  <si>
    <t>022</t>
  </si>
  <si>
    <t>นางพรพิมล โทฉ่ำ</t>
  </si>
  <si>
    <t>025</t>
  </si>
  <si>
    <t>นายชยพล รุ่งศักดิ์สกุล</t>
  </si>
  <si>
    <t>Sale Representative</t>
  </si>
  <si>
    <t>028</t>
  </si>
  <si>
    <t>นายพิษณุ กาบทอง</t>
  </si>
  <si>
    <t>Graphic Designer</t>
  </si>
  <si>
    <t>029</t>
  </si>
  <si>
    <t>นางสาวจิรวดี วัจนะพุกกะ</t>
  </si>
  <si>
    <t>Admin Alpinestars</t>
  </si>
  <si>
    <t>Inventory &amp; Buying</t>
  </si>
  <si>
    <t>030</t>
  </si>
  <si>
    <t>นางสาวรุ่งนภา โกมินทร์</t>
  </si>
  <si>
    <t>Accounting and Administrative</t>
  </si>
  <si>
    <t>033</t>
  </si>
  <si>
    <t>นางสาวธารารัตน์ วิบูลย์เพ็ง</t>
  </si>
  <si>
    <t>035</t>
  </si>
  <si>
    <t>นายอภิวัฒน์ ศรีวิทยาวราภรณ์</t>
  </si>
  <si>
    <t>Brand Supervisor</t>
  </si>
  <si>
    <t>040</t>
  </si>
  <si>
    <t>นางสาวกมลชนก อบน้ำ</t>
  </si>
  <si>
    <t>Marketing Administrative</t>
  </si>
  <si>
    <t>041</t>
  </si>
  <si>
    <t>นายธนากฤต ธนวรากวิน</t>
  </si>
  <si>
    <t>Partner Relation Supervisor</t>
  </si>
  <si>
    <t>042</t>
  </si>
  <si>
    <t>นางสาวจันทร์เพ็ญ สุกใส</t>
  </si>
  <si>
    <t>Sales Operation Manager</t>
  </si>
  <si>
    <t>043</t>
  </si>
  <si>
    <t>นางสาวภาสินี ตรีภพศรีสกุล</t>
  </si>
  <si>
    <t>Adminstrative Manager</t>
  </si>
  <si>
    <t>044</t>
  </si>
  <si>
    <t>นางสาวกุลณัฐ เหล่าหลอด</t>
  </si>
  <si>
    <t>045</t>
  </si>
  <si>
    <t>นางสาวเกตุแก้ว สุธัญไพศาล</t>
  </si>
  <si>
    <t>Financial and Accounting Manager</t>
  </si>
  <si>
    <t>046</t>
  </si>
  <si>
    <t>นายฉัตรชัย มวลคำลา</t>
  </si>
  <si>
    <t>047</t>
  </si>
  <si>
    <t>นายพงศธร เกษประยูร</t>
  </si>
  <si>
    <t>048</t>
  </si>
  <si>
    <t>นายเศรษฐ์ปุณณวิช พิชญกุลดิลก</t>
  </si>
  <si>
    <t>Sale &amp; Marketing</t>
  </si>
  <si>
    <t>Sale &amp; Marketing Manager</t>
  </si>
  <si>
    <t>049</t>
  </si>
  <si>
    <t>นายชัยกร ซาชิโย</t>
  </si>
  <si>
    <t>Store</t>
  </si>
  <si>
    <t>Store Clerk</t>
  </si>
  <si>
    <t>052</t>
  </si>
  <si>
    <t>นางสาวบุญนัดดา พันธ์จำปา</t>
  </si>
  <si>
    <t>Accounting Administrative</t>
  </si>
  <si>
    <t>053</t>
  </si>
  <si>
    <t>นางสาววรดาลักษณ์ บุษบงษ์</t>
  </si>
  <si>
    <t>056</t>
  </si>
  <si>
    <t>นายประสิทธิ์ ประนอม</t>
  </si>
  <si>
    <t>057</t>
  </si>
  <si>
    <t>นายกาจ จานทอง</t>
  </si>
  <si>
    <t>Business Development</t>
  </si>
  <si>
    <t>064</t>
  </si>
  <si>
    <t>นายเกียรติศักดิ์ สมัญญา</t>
  </si>
  <si>
    <t>065</t>
  </si>
  <si>
    <t>นายธีรดนย์ วรรณอารยันชัย</t>
  </si>
  <si>
    <t>Admin Support Alpinestars</t>
  </si>
  <si>
    <t>066</t>
  </si>
  <si>
    <t>นายพิชยา โรจน์บุญถึง</t>
  </si>
  <si>
    <t>068</t>
  </si>
  <si>
    <t>นายปรีชา สูงใหญ่</t>
  </si>
  <si>
    <t>069</t>
  </si>
  <si>
    <t>นายบารมี ดีดวง</t>
  </si>
  <si>
    <t>070</t>
  </si>
  <si>
    <t>นายศราวุธ เข็มทอง</t>
  </si>
  <si>
    <t>071</t>
  </si>
  <si>
    <t>นางอุบลวรรณา ศานตินันท์</t>
  </si>
  <si>
    <t>เจ้าหน้าที่บุคคล</t>
  </si>
  <si>
    <t>072</t>
  </si>
  <si>
    <t>นายชิษณุพงศ์ ใจเพ็ชร</t>
  </si>
  <si>
    <t>Digital Marketing Manager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</si>
</sst>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#,##0.00;#,##0.00"/>
    <numFmt numFmtId="60" formatCode="#,##0.00####&quot; &quot;;&quot;-&quot;#,##0.00####&quot; &quot;"/>
  </numFmts>
  <fonts count="4">
    <font>
      <sz val="14"/>
      <color indexed="8"/>
      <name val="Arial1"/>
    </font>
    <font>
      <sz val="15"/>
      <color indexed="8"/>
      <name val="Calibri"/>
    </font>
    <font>
      <b val="1"/>
      <sz val="10"/>
      <color indexed="8"/>
      <name val="Tahoma"/>
    </font>
    <font>
      <sz val="10"/>
      <color indexed="8"/>
      <name val="Tahoma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/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2" fillId="2" borderId="1" applyNumberFormat="1" applyFont="1" applyFill="1" applyBorder="1" applyAlignment="1" applyProtection="0">
      <alignment horizontal="center" vertical="center" wrapText="1"/>
    </xf>
    <xf numFmtId="49" fontId="2" fillId="3" borderId="1" applyNumberFormat="1" applyFont="1" applyFill="1" applyBorder="1" applyAlignment="1" applyProtection="0">
      <alignment horizontal="center" vertical="center" wrapText="1"/>
    </xf>
    <xf numFmtId="49" fontId="2" fillId="4" borderId="1" applyNumberFormat="1" applyFont="1" applyFill="1" applyBorder="1" applyAlignment="1" applyProtection="0">
      <alignment horizontal="center" vertical="center" wrapText="1"/>
    </xf>
    <xf numFmtId="59" fontId="3" fillId="5" borderId="2" applyNumberFormat="1" applyFont="1" applyFill="1" applyBorder="1" applyAlignment="1" applyProtection="0">
      <alignment horizontal="center" vertical="top"/>
    </xf>
    <xf numFmtId="59" fontId="3" fillId="5" borderId="3" applyNumberFormat="1" applyFont="1" applyFill="1" applyBorder="1" applyAlignment="1" applyProtection="0">
      <alignment horizontal="center" vertical="top"/>
    </xf>
    <xf numFmtId="49" fontId="0" fillId="5" borderId="4" applyNumberFormat="1" applyFont="1" applyFill="1" applyBorder="1" applyAlignment="1" applyProtection="0">
      <alignment vertical="center"/>
    </xf>
    <xf numFmtId="49" fontId="3" fillId="5" borderId="4" applyNumberFormat="1" applyFont="1" applyFill="1" applyBorder="1" applyAlignment="1" applyProtection="0">
      <alignment horizontal="left" vertical="center"/>
    </xf>
    <xf numFmtId="60" fontId="0" fillId="5" borderId="4" applyNumberFormat="1" applyFont="1" applyFill="1" applyBorder="1" applyAlignment="1" applyProtection="0">
      <alignment vertical="bottom"/>
    </xf>
    <xf numFmtId="0" fontId="0" fillId="5" borderId="3" applyNumberFormat="0" applyFont="1" applyFill="1" applyBorder="1" applyAlignment="1" applyProtection="0">
      <alignment vertical="center"/>
    </xf>
    <xf numFmtId="49" fontId="0" fillId="5" borderId="3" applyNumberFormat="1" applyFont="1" applyFill="1" applyBorder="1" applyAlignment="1" applyProtection="0">
      <alignment vertical="center"/>
    </xf>
    <xf numFmtId="49" fontId="3" fillId="5" borderId="3" applyNumberFormat="1" applyFont="1" applyFill="1" applyBorder="1" applyAlignment="1" applyProtection="0">
      <alignment horizontal="left" vertical="center"/>
    </xf>
    <xf numFmtId="60" fontId="0" fillId="5" borderId="3" applyNumberFormat="1" applyFont="1" applyFill="1" applyBorder="1" applyAlignment="1" applyProtection="0">
      <alignment vertical="bottom"/>
    </xf>
    <xf numFmtId="49" fontId="0" fillId="5" borderId="3" applyNumberFormat="1" applyFont="1" applyFill="1" applyBorder="1" applyAlignment="1" applyProtection="0">
      <alignment vertical="bottom"/>
    </xf>
    <xf numFmtId="0" fontId="0" fillId="5" borderId="3" applyNumberFormat="0" applyFont="1" applyFill="1" applyBorder="1" applyAlignment="1" applyProtection="0">
      <alignment vertical="bottom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2f2f2"/>
      <rgbColor rgb="ffff0000"/>
      <rgbColor rgb="ffdaeef3"/>
      <rgbColor rgb="ffb6dde8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C40"/>
  <sheetViews>
    <sheetView workbookViewId="0" showGridLines="0" defaultGridColor="1"/>
  </sheetViews>
  <sheetFormatPr defaultColWidth="16.375" defaultRowHeight="18.75" customHeight="1" outlineLevelRow="0" outlineLevelCol="0"/>
  <cols>
    <col min="1" max="1" width="5.625" style="1" customWidth="1"/>
    <col min="2" max="2" width="13.875" style="1" customWidth="1"/>
    <col min="3" max="5" width="17.75" style="1" customWidth="1"/>
    <col min="6" max="6" width="11.8359" style="1" customWidth="1"/>
    <col min="7" max="7" width="8" style="1" customWidth="1"/>
    <col min="8" max="237" width="16.375" style="1" customWidth="1"/>
    <col min="238" max="16384" width="16.375" style="1" customWidth="1"/>
  </cols>
  <sheetData>
    <row r="1" ht="27.4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3">
        <v>5</v>
      </c>
      <c r="G1" t="s" s="4">
        <v>6</v>
      </c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</row>
    <row r="2" ht="18.75" customHeight="1">
      <c r="A2" t="s" s="7">
        <v>7</v>
      </c>
      <c r="B2" t="s" s="7">
        <v>8</v>
      </c>
      <c r="C2" t="s" s="8">
        <v>9</v>
      </c>
      <c r="D2" t="s" s="8">
        <v>10</v>
      </c>
      <c r="E2" t="s" s="7">
        <v>11</v>
      </c>
      <c r="F2" s="9"/>
      <c r="G2" s="9" cm="1">
        <f t="array" ref="G2">SUM(F2:F2)</f>
        <v>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</row>
    <row r="3" ht="18.75" customHeight="1">
      <c r="A3" t="s" s="11">
        <v>12</v>
      </c>
      <c r="B3" t="s" s="11">
        <v>13</v>
      </c>
      <c r="C3" t="s" s="12">
        <v>9</v>
      </c>
      <c r="D3" t="s" s="12">
        <v>14</v>
      </c>
      <c r="E3" t="s" s="11">
        <v>15</v>
      </c>
      <c r="F3" s="13"/>
      <c r="G3" s="13" cm="1">
        <f t="array" ref="G3">SUM(F3:F3)</f>
        <v>0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</row>
    <row r="4" ht="18.75" customHeight="1">
      <c r="A4" t="s" s="11">
        <v>16</v>
      </c>
      <c r="B4" t="s" s="11">
        <v>17</v>
      </c>
      <c r="C4" t="s" s="12">
        <v>9</v>
      </c>
      <c r="D4" t="s" s="12">
        <v>18</v>
      </c>
      <c r="E4" t="s" s="11">
        <v>19</v>
      </c>
      <c r="F4" s="13"/>
      <c r="G4" s="13" cm="1">
        <f t="array" ref="G4">SUM(F4:F4)</f>
        <v>0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</row>
    <row r="5" ht="18.75" customHeight="1">
      <c r="A5" t="s" s="11">
        <v>20</v>
      </c>
      <c r="B5" t="s" s="11">
        <v>21</v>
      </c>
      <c r="C5" t="s" s="12">
        <v>9</v>
      </c>
      <c r="D5" t="s" s="12">
        <v>14</v>
      </c>
      <c r="E5" t="s" s="11">
        <v>22</v>
      </c>
      <c r="F5" s="13"/>
      <c r="G5" s="13" cm="1">
        <f t="array" ref="G5">SUM(F5:F5)</f>
        <v>0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</row>
    <row r="6" ht="18.75" customHeight="1">
      <c r="A6" t="s" s="11">
        <v>23</v>
      </c>
      <c r="B6" t="s" s="11">
        <v>24</v>
      </c>
      <c r="C6" t="s" s="12">
        <v>9</v>
      </c>
      <c r="D6" t="s" s="12">
        <v>25</v>
      </c>
      <c r="E6" t="s" s="11">
        <v>26</v>
      </c>
      <c r="F6" s="13"/>
      <c r="G6" s="13" cm="1">
        <f t="array" ref="G6">SUM(F6:F6)</f>
        <v>0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</row>
    <row r="7" ht="18.75" customHeight="1">
      <c r="A7" t="s" s="11">
        <v>27</v>
      </c>
      <c r="B7" t="s" s="11">
        <v>28</v>
      </c>
      <c r="C7" t="s" s="12">
        <v>9</v>
      </c>
      <c r="D7" t="s" s="12">
        <v>25</v>
      </c>
      <c r="E7" t="s" s="11">
        <v>29</v>
      </c>
      <c r="F7" s="13"/>
      <c r="G7" s="13" cm="1">
        <f t="array" ref="G7">SUM(F7:F7)</f>
        <v>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</row>
    <row r="8" ht="18.75" customHeight="1">
      <c r="A8" t="s" s="11">
        <v>30</v>
      </c>
      <c r="B8" t="s" s="11">
        <v>31</v>
      </c>
      <c r="C8" t="s" s="14">
        <v>9</v>
      </c>
      <c r="D8" t="s" s="14">
        <v>10</v>
      </c>
      <c r="E8" t="s" s="11">
        <v>32</v>
      </c>
      <c r="F8" s="13"/>
      <c r="G8" s="13" cm="1">
        <f t="array" ref="G8">SUM(F8:F8)</f>
        <v>0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</row>
    <row r="9" ht="18.75" customHeight="1">
      <c r="A9" t="s" s="11">
        <v>33</v>
      </c>
      <c r="B9" t="s" s="11">
        <v>34</v>
      </c>
      <c r="C9" t="s" s="14">
        <v>9</v>
      </c>
      <c r="D9" t="s" s="14">
        <v>18</v>
      </c>
      <c r="E9" t="s" s="11">
        <v>35</v>
      </c>
      <c r="F9" s="15"/>
      <c r="G9" s="13" cm="1">
        <f t="array" ref="G9">SUM(F9:F9)</f>
        <v>0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</row>
    <row r="10" ht="18.75" customHeight="1">
      <c r="A10" t="s" s="11">
        <v>36</v>
      </c>
      <c r="B10" t="s" s="11">
        <v>37</v>
      </c>
      <c r="C10" t="s" s="14">
        <v>9</v>
      </c>
      <c r="D10" t="s" s="14">
        <v>18</v>
      </c>
      <c r="E10" t="s" s="11">
        <v>38</v>
      </c>
      <c r="F10" s="15"/>
      <c r="G10" s="13" cm="1">
        <f t="array" ref="G10">SUM(F10:F10)</f>
        <v>0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</row>
    <row r="11" ht="18.75" customHeight="1">
      <c r="A11" t="s" s="11">
        <v>39</v>
      </c>
      <c r="B11" t="s" s="11">
        <v>40</v>
      </c>
      <c r="C11" t="s" s="14">
        <v>9</v>
      </c>
      <c r="D11" t="s" s="14">
        <v>25</v>
      </c>
      <c r="E11" t="s" s="11">
        <v>29</v>
      </c>
      <c r="F11" s="13"/>
      <c r="G11" s="13" cm="1">
        <f t="array" ref="G11">SUM(F11:F11)</f>
        <v>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</row>
    <row r="12" ht="18.75" customHeight="1">
      <c r="A12" t="s" s="11">
        <v>41</v>
      </c>
      <c r="B12" t="s" s="11">
        <v>42</v>
      </c>
      <c r="C12" t="s" s="14">
        <v>9</v>
      </c>
      <c r="D12" t="s" s="14">
        <v>25</v>
      </c>
      <c r="E12" t="s" s="11">
        <v>43</v>
      </c>
      <c r="F12" s="13"/>
      <c r="G12" s="13" cm="1">
        <f t="array" ref="G12">SUM(F12:F12)</f>
        <v>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</row>
    <row r="13" ht="18.75" customHeight="1">
      <c r="A13" t="s" s="11">
        <v>44</v>
      </c>
      <c r="B13" t="s" s="11">
        <v>45</v>
      </c>
      <c r="C13" t="s" s="14">
        <v>9</v>
      </c>
      <c r="D13" t="s" s="14">
        <v>18</v>
      </c>
      <c r="E13" t="s" s="11">
        <v>46</v>
      </c>
      <c r="F13" s="15"/>
      <c r="G13" s="13" cm="1">
        <f t="array" ref="G13">SUM(F13:F13)</f>
        <v>0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</row>
    <row r="14" ht="18.75" customHeight="1">
      <c r="A14" t="s" s="11">
        <v>47</v>
      </c>
      <c r="B14" t="s" s="11">
        <v>48</v>
      </c>
      <c r="C14" t="s" s="14">
        <v>9</v>
      </c>
      <c r="D14" t="s" s="14">
        <v>49</v>
      </c>
      <c r="E14" t="s" s="11">
        <v>50</v>
      </c>
      <c r="F14" s="15"/>
      <c r="G14" s="13" cm="1">
        <f t="array" ref="G14">SUM(F14:F14)</f>
        <v>0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</row>
    <row r="15" ht="18.75" customHeight="1">
      <c r="A15" t="s" s="11">
        <v>51</v>
      </c>
      <c r="B15" t="s" s="11">
        <v>52</v>
      </c>
      <c r="C15" t="s" s="14">
        <v>9</v>
      </c>
      <c r="D15" t="s" s="14">
        <v>53</v>
      </c>
      <c r="E15" t="s" s="11">
        <v>50</v>
      </c>
      <c r="F15" s="13"/>
      <c r="G15" s="13" cm="1">
        <f t="array" ref="G15">SUM(F15:F15)</f>
        <v>0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</row>
    <row r="16" ht="18.75" customHeight="1">
      <c r="A16" t="s" s="11">
        <v>54</v>
      </c>
      <c r="B16" t="s" s="11">
        <v>55</v>
      </c>
      <c r="C16" t="s" s="14">
        <v>9</v>
      </c>
      <c r="D16" t="s" s="14">
        <v>49</v>
      </c>
      <c r="E16" t="s" s="11">
        <v>29</v>
      </c>
      <c r="F16" s="13"/>
      <c r="G16" s="13" cm="1">
        <f t="array" ref="G16">SUM(F16:F16)</f>
        <v>0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</row>
    <row r="17" ht="18.75" customHeight="1">
      <c r="A17" t="s" s="11">
        <v>56</v>
      </c>
      <c r="B17" t="s" s="11">
        <v>57</v>
      </c>
      <c r="C17" t="s" s="14">
        <v>9</v>
      </c>
      <c r="D17" t="s" s="14">
        <v>49</v>
      </c>
      <c r="E17" t="s" s="11">
        <v>58</v>
      </c>
      <c r="F17" s="13"/>
      <c r="G17" s="13" cm="1">
        <f t="array" ref="G17">SUM(F17:F17)</f>
        <v>0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</row>
    <row r="18" ht="18.75" customHeight="1">
      <c r="A18" t="s" s="11">
        <v>59</v>
      </c>
      <c r="B18" t="s" s="11">
        <v>60</v>
      </c>
      <c r="C18" t="s" s="14">
        <v>9</v>
      </c>
      <c r="D18" t="s" s="14">
        <v>18</v>
      </c>
      <c r="E18" t="s" s="11">
        <v>61</v>
      </c>
      <c r="F18" s="15"/>
      <c r="G18" s="13" cm="1">
        <f t="array" ref="G18">SUM(F18:F18)</f>
        <v>0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</row>
    <row r="19" ht="18.75" customHeight="1">
      <c r="A19" t="s" s="11">
        <v>62</v>
      </c>
      <c r="B19" t="s" s="11">
        <v>63</v>
      </c>
      <c r="C19" t="s" s="14">
        <v>9</v>
      </c>
      <c r="D19" t="s" s="14">
        <v>18</v>
      </c>
      <c r="E19" t="s" s="11">
        <v>64</v>
      </c>
      <c r="F19" s="15"/>
      <c r="G19" s="13" cm="1">
        <f t="array" ref="G19">SUM(F19:F19)</f>
        <v>0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</row>
    <row r="20" ht="18.75" customHeight="1">
      <c r="A20" t="s" s="11">
        <v>65</v>
      </c>
      <c r="B20" t="s" s="11">
        <v>66</v>
      </c>
      <c r="C20" t="s" s="14">
        <v>9</v>
      </c>
      <c r="D20" t="s" s="14">
        <v>49</v>
      </c>
      <c r="E20" t="s" s="11">
        <v>67</v>
      </c>
      <c r="F20" s="15"/>
      <c r="G20" s="13" cm="1">
        <f t="array" ref="G20">SUM(F20:F20)</f>
        <v>0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</row>
    <row r="21" ht="18.75" customHeight="1">
      <c r="A21" t="s" s="11">
        <v>68</v>
      </c>
      <c r="B21" t="s" s="11">
        <v>69</v>
      </c>
      <c r="C21" t="s" s="14">
        <v>9</v>
      </c>
      <c r="D21" t="s" s="14">
        <v>49</v>
      </c>
      <c r="E21" t="s" s="11">
        <v>70</v>
      </c>
      <c r="F21" s="15"/>
      <c r="G21" s="13" cm="1">
        <f t="array" ref="G21">SUM(F21:F21)</f>
        <v>0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</row>
    <row r="22" ht="18.75" customHeight="1">
      <c r="A22" t="s" s="11">
        <v>71</v>
      </c>
      <c r="B22" t="s" s="11">
        <v>72</v>
      </c>
      <c r="C22" t="s" s="14">
        <v>9</v>
      </c>
      <c r="D22" t="s" s="14">
        <v>18</v>
      </c>
      <c r="E22" t="s" s="11">
        <v>35</v>
      </c>
      <c r="F22" s="15"/>
      <c r="G22" s="13" cm="1">
        <f t="array" ref="G22">SUM(F22:F22)</f>
        <v>0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10"/>
      <c r="HY22" s="10"/>
      <c r="HZ22" s="10"/>
      <c r="IA22" s="10"/>
      <c r="IB22" s="10"/>
      <c r="IC22" s="10"/>
    </row>
    <row r="23" ht="18.75" customHeight="1">
      <c r="A23" t="s" s="11">
        <v>73</v>
      </c>
      <c r="B23" t="s" s="11">
        <v>74</v>
      </c>
      <c r="C23" t="s" s="14">
        <v>9</v>
      </c>
      <c r="D23" t="s" s="14">
        <v>53</v>
      </c>
      <c r="E23" t="s" s="11">
        <v>75</v>
      </c>
      <c r="F23" s="15"/>
      <c r="G23" s="13" cm="1">
        <f t="array" ref="G23">SUM(F23:F23)</f>
        <v>0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</row>
    <row r="24" ht="18.75" customHeight="1">
      <c r="A24" t="s" s="11">
        <v>76</v>
      </c>
      <c r="B24" t="s" s="11">
        <v>77</v>
      </c>
      <c r="C24" t="s" s="14">
        <v>9</v>
      </c>
      <c r="D24" t="s" s="14">
        <v>10</v>
      </c>
      <c r="E24" t="s" s="11">
        <v>32</v>
      </c>
      <c r="F24" s="13"/>
      <c r="G24" s="13" cm="1">
        <f t="array" ref="G24">SUM(F24:F24)</f>
        <v>0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  <c r="HT24" s="10"/>
      <c r="HU24" s="10"/>
      <c r="HV24" s="10"/>
      <c r="HW24" s="10"/>
      <c r="HX24" s="10"/>
      <c r="HY24" s="10"/>
      <c r="HZ24" s="10"/>
      <c r="IA24" s="10"/>
      <c r="IB24" s="10"/>
      <c r="IC24" s="10"/>
    </row>
    <row r="25" ht="18.75" customHeight="1">
      <c r="A25" t="s" s="11">
        <v>78</v>
      </c>
      <c r="B25" t="s" s="11">
        <v>79</v>
      </c>
      <c r="C25" t="s" s="14">
        <v>9</v>
      </c>
      <c r="D25" t="s" s="14">
        <v>25</v>
      </c>
      <c r="E25" t="s" s="11">
        <v>26</v>
      </c>
      <c r="F25" s="13"/>
      <c r="G25" s="13" cm="1">
        <f t="array" ref="G25">SUM(F25:F25)</f>
        <v>0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  <c r="HW25" s="10"/>
      <c r="HX25" s="10"/>
      <c r="HY25" s="10"/>
      <c r="HZ25" s="10"/>
      <c r="IA25" s="10"/>
      <c r="IB25" s="10"/>
      <c r="IC25" s="10"/>
    </row>
    <row r="26" ht="18.75" customHeight="1">
      <c r="A26" t="s" s="11">
        <v>80</v>
      </c>
      <c r="B26" t="s" s="11">
        <v>81</v>
      </c>
      <c r="C26" t="s" s="14">
        <v>9</v>
      </c>
      <c r="D26" t="s" s="14">
        <v>82</v>
      </c>
      <c r="E26" t="s" s="11">
        <v>83</v>
      </c>
      <c r="F26" s="15"/>
      <c r="G26" s="13" cm="1">
        <f t="array" ref="G26">SUM(F26:F26)</f>
        <v>0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  <c r="IB26" s="10"/>
      <c r="IC26" s="10"/>
    </row>
    <row r="27" ht="18.75" customHeight="1">
      <c r="A27" t="s" s="11">
        <v>84</v>
      </c>
      <c r="B27" t="s" s="11">
        <v>85</v>
      </c>
      <c r="C27" t="s" s="14">
        <v>9</v>
      </c>
      <c r="D27" t="s" s="14">
        <v>86</v>
      </c>
      <c r="E27" t="s" s="11">
        <v>87</v>
      </c>
      <c r="F27" s="15"/>
      <c r="G27" s="13" cm="1">
        <f t="array" ref="G27">SUM(F27:F27)</f>
        <v>0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/>
      <c r="HY27" s="10"/>
      <c r="HZ27" s="10"/>
      <c r="IA27" s="10"/>
      <c r="IB27" s="10"/>
      <c r="IC27" s="10"/>
    </row>
    <row r="28" ht="18.75" customHeight="1">
      <c r="A28" t="s" s="11">
        <v>88</v>
      </c>
      <c r="B28" t="s" s="11">
        <v>89</v>
      </c>
      <c r="C28" t="s" s="14">
        <v>9</v>
      </c>
      <c r="D28" t="s" s="14">
        <v>53</v>
      </c>
      <c r="E28" t="s" s="11">
        <v>90</v>
      </c>
      <c r="F28" s="13"/>
      <c r="G28" s="13" cm="1">
        <f t="array" ref="G28">SUM(F28:F28)</f>
        <v>0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  <c r="HX28" s="10"/>
      <c r="HY28" s="10"/>
      <c r="HZ28" s="10"/>
      <c r="IA28" s="10"/>
      <c r="IB28" s="10"/>
      <c r="IC28" s="10"/>
    </row>
    <row r="29" ht="18.75" customHeight="1">
      <c r="A29" t="s" s="11">
        <v>91</v>
      </c>
      <c r="B29" t="s" s="11">
        <v>92</v>
      </c>
      <c r="C29" t="s" s="14">
        <v>9</v>
      </c>
      <c r="D29" t="s" s="14">
        <v>53</v>
      </c>
      <c r="E29" t="s" s="11">
        <v>90</v>
      </c>
      <c r="F29" s="15"/>
      <c r="G29" s="13" cm="1">
        <f t="array" ref="G29">SUM(F29:F29)</f>
        <v>0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  <c r="HT29" s="10"/>
      <c r="HU29" s="10"/>
      <c r="HV29" s="10"/>
      <c r="HW29" s="10"/>
      <c r="HX29" s="10"/>
      <c r="HY29" s="10"/>
      <c r="HZ29" s="10"/>
      <c r="IA29" s="10"/>
      <c r="IB29" s="10"/>
      <c r="IC29" s="10"/>
    </row>
    <row r="30" ht="18.75" customHeight="1">
      <c r="A30" t="s" s="11">
        <v>93</v>
      </c>
      <c r="B30" t="s" s="11">
        <v>94</v>
      </c>
      <c r="C30" t="s" s="14">
        <v>9</v>
      </c>
      <c r="D30" t="s" s="14">
        <v>86</v>
      </c>
      <c r="E30" t="s" s="11">
        <v>87</v>
      </c>
      <c r="F30" s="15"/>
      <c r="G30" s="13" cm="1">
        <f t="array" ref="G30">SUM(F30:F30)</f>
        <v>0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  <c r="HT30" s="10"/>
      <c r="HU30" s="10"/>
      <c r="HV30" s="10"/>
      <c r="HW30" s="10"/>
      <c r="HX30" s="10"/>
      <c r="HY30" s="10"/>
      <c r="HZ30" s="10"/>
      <c r="IA30" s="10"/>
      <c r="IB30" s="10"/>
      <c r="IC30" s="10"/>
    </row>
    <row r="31" ht="18.75" customHeight="1">
      <c r="A31" t="s" s="11">
        <v>95</v>
      </c>
      <c r="B31" t="s" s="11">
        <v>96</v>
      </c>
      <c r="C31" t="s" s="14">
        <v>9</v>
      </c>
      <c r="D31" t="s" s="14">
        <v>25</v>
      </c>
      <c r="E31" t="s" s="11">
        <v>97</v>
      </c>
      <c r="F31" s="15"/>
      <c r="G31" s="13" cm="1">
        <f t="array" ref="G31">SUM(F31:F31)</f>
        <v>0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  <c r="HX31" s="10"/>
      <c r="HY31" s="10"/>
      <c r="HZ31" s="10"/>
      <c r="IA31" s="10"/>
      <c r="IB31" s="10"/>
      <c r="IC31" s="10"/>
    </row>
    <row r="32" ht="18.75" customHeight="1">
      <c r="A32" t="s" s="11">
        <v>98</v>
      </c>
      <c r="B32" t="s" s="11">
        <v>99</v>
      </c>
      <c r="C32" t="s" s="14">
        <v>9</v>
      </c>
      <c r="D32" t="s" s="14">
        <v>86</v>
      </c>
      <c r="E32" t="s" s="11">
        <v>87</v>
      </c>
      <c r="F32" s="15"/>
      <c r="G32" s="13" cm="1">
        <f t="array" ref="G32">SUM(F32:F32)</f>
        <v>0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  <c r="HS32" s="10"/>
      <c r="HT32" s="10"/>
      <c r="HU32" s="10"/>
      <c r="HV32" s="10"/>
      <c r="HW32" s="10"/>
      <c r="HX32" s="10"/>
      <c r="HY32" s="10"/>
      <c r="HZ32" s="10"/>
      <c r="IA32" s="10"/>
      <c r="IB32" s="10"/>
      <c r="IC32" s="10"/>
    </row>
    <row r="33" ht="18.75" customHeight="1">
      <c r="A33" t="s" s="11">
        <v>100</v>
      </c>
      <c r="B33" t="s" s="11">
        <v>101</v>
      </c>
      <c r="C33" t="s" s="14">
        <v>9</v>
      </c>
      <c r="D33" t="s" s="14">
        <v>49</v>
      </c>
      <c r="E33" t="s" s="11">
        <v>102</v>
      </c>
      <c r="F33" s="15"/>
      <c r="G33" s="13" cm="1">
        <f t="array" ref="G33">SUM(F33:F33)</f>
        <v>0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  <c r="HS33" s="10"/>
      <c r="HT33" s="10"/>
      <c r="HU33" s="10"/>
      <c r="HV33" s="10"/>
      <c r="HW33" s="10"/>
      <c r="HX33" s="10"/>
      <c r="HY33" s="10"/>
      <c r="HZ33" s="10"/>
      <c r="IA33" s="10"/>
      <c r="IB33" s="10"/>
      <c r="IC33" s="10"/>
    </row>
    <row r="34" ht="18.75" customHeight="1">
      <c r="A34" t="s" s="11">
        <v>103</v>
      </c>
      <c r="B34" t="s" s="11">
        <v>104</v>
      </c>
      <c r="C34" t="s" s="14">
        <v>9</v>
      </c>
      <c r="D34" t="s" s="14">
        <v>86</v>
      </c>
      <c r="E34" t="s" s="11">
        <v>87</v>
      </c>
      <c r="F34" s="15"/>
      <c r="G34" s="13" cm="1">
        <f t="array" ref="G34">SUM(F34:F34)</f>
        <v>0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  <c r="HS34" s="10"/>
      <c r="HT34" s="10"/>
      <c r="HU34" s="10"/>
      <c r="HV34" s="10"/>
      <c r="HW34" s="10"/>
      <c r="HX34" s="10"/>
      <c r="HY34" s="10"/>
      <c r="HZ34" s="10"/>
      <c r="IA34" s="10"/>
      <c r="IB34" s="10"/>
      <c r="IC34" s="10"/>
    </row>
    <row r="35" ht="18.75" customHeight="1">
      <c r="A35" t="s" s="11">
        <v>105</v>
      </c>
      <c r="B35" t="s" s="11">
        <v>106</v>
      </c>
      <c r="C35" t="s" s="14">
        <v>9</v>
      </c>
      <c r="D35" t="s" s="14">
        <v>25</v>
      </c>
      <c r="E35" t="s" s="11">
        <v>26</v>
      </c>
      <c r="F35" s="13"/>
      <c r="G35" s="13" cm="1">
        <f t="array" ref="G35">SUM(F35:F35)</f>
        <v>0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  <c r="HT35" s="10"/>
      <c r="HU35" s="10"/>
      <c r="HV35" s="10"/>
      <c r="HW35" s="10"/>
      <c r="HX35" s="10"/>
      <c r="HY35" s="10"/>
      <c r="HZ35" s="10"/>
      <c r="IA35" s="10"/>
      <c r="IB35" s="10"/>
      <c r="IC35" s="10"/>
    </row>
    <row r="36" ht="18.75" customHeight="1">
      <c r="A36" t="s" s="11">
        <v>107</v>
      </c>
      <c r="B36" t="s" s="11">
        <v>108</v>
      </c>
      <c r="C36" t="s" s="14">
        <v>9</v>
      </c>
      <c r="D36" t="s" s="14">
        <v>86</v>
      </c>
      <c r="E36" t="s" s="11">
        <v>87</v>
      </c>
      <c r="F36" s="15"/>
      <c r="G36" s="13" cm="1">
        <f t="array" ref="G36">SUM(F36:F36)</f>
        <v>0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  <c r="HT36" s="10"/>
      <c r="HU36" s="10"/>
      <c r="HV36" s="10"/>
      <c r="HW36" s="10"/>
      <c r="HX36" s="10"/>
      <c r="HY36" s="10"/>
      <c r="HZ36" s="10"/>
      <c r="IA36" s="10"/>
      <c r="IB36" s="10"/>
      <c r="IC36" s="10"/>
    </row>
    <row r="37" ht="18.75" customHeight="1">
      <c r="A37" t="s" s="11">
        <v>109</v>
      </c>
      <c r="B37" t="s" s="11">
        <v>110</v>
      </c>
      <c r="C37" t="s" s="14">
        <v>9</v>
      </c>
      <c r="D37" t="s" s="14">
        <v>86</v>
      </c>
      <c r="E37" t="s" s="11">
        <v>87</v>
      </c>
      <c r="F37" s="15"/>
      <c r="G37" s="13" cm="1">
        <f t="array" ref="G37">SUM(F37:F37)</f>
        <v>0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  <c r="HT37" s="10"/>
      <c r="HU37" s="10"/>
      <c r="HV37" s="10"/>
      <c r="HW37" s="10"/>
      <c r="HX37" s="10"/>
      <c r="HY37" s="10"/>
      <c r="HZ37" s="10"/>
      <c r="IA37" s="10"/>
      <c r="IB37" s="10"/>
      <c r="IC37" s="10"/>
    </row>
    <row r="38" ht="18.75" customHeight="1">
      <c r="A38" t="s" s="11">
        <v>111</v>
      </c>
      <c r="B38" t="s" s="11">
        <v>112</v>
      </c>
      <c r="C38" t="s" s="14">
        <v>9</v>
      </c>
      <c r="D38" t="s" s="14">
        <v>14</v>
      </c>
      <c r="E38" t="s" s="11">
        <v>113</v>
      </c>
      <c r="F38" s="15"/>
      <c r="G38" s="13" cm="1">
        <f t="array" ref="G38">SUM(F38:F38)</f>
        <v>0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  <c r="HS38" s="10"/>
      <c r="HT38" s="10"/>
      <c r="HU38" s="10"/>
      <c r="HV38" s="10"/>
      <c r="HW38" s="10"/>
      <c r="HX38" s="10"/>
      <c r="HY38" s="10"/>
      <c r="HZ38" s="10"/>
      <c r="IA38" s="10"/>
      <c r="IB38" s="10"/>
      <c r="IC38" s="10"/>
    </row>
    <row r="39" ht="18.75" customHeight="1">
      <c r="A39" t="s" s="11">
        <v>114</v>
      </c>
      <c r="B39" t="s" s="11">
        <v>115</v>
      </c>
      <c r="C39" t="s" s="14">
        <v>9</v>
      </c>
      <c r="D39" t="s" s="14">
        <v>18</v>
      </c>
      <c r="E39" t="s" s="11">
        <v>116</v>
      </c>
      <c r="F39" s="15"/>
      <c r="G39" s="13" cm="1">
        <f t="array" ref="G39">SUM(F39:F39)</f>
        <v>0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10"/>
      <c r="HP39" s="10"/>
      <c r="HQ39" s="10"/>
      <c r="HR39" s="10"/>
      <c r="HS39" s="10"/>
      <c r="HT39" s="10"/>
      <c r="HU39" s="10"/>
      <c r="HV39" s="10"/>
      <c r="HW39" s="10"/>
      <c r="HX39" s="10"/>
      <c r="HY39" s="10"/>
      <c r="HZ39" s="10"/>
      <c r="IA39" s="10"/>
      <c r="IB39" s="10"/>
      <c r="IC39" s="10"/>
    </row>
    <row r="40" ht="18.75" customHeight="1">
      <c r="A40" s="10"/>
      <c r="B40" s="10"/>
      <c r="C40" s="15"/>
      <c r="D40" s="15"/>
      <c r="E40" s="10"/>
      <c r="F40" s="15"/>
      <c r="G40" s="15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0"/>
      <c r="HB40" s="10"/>
      <c r="HC40" s="10"/>
      <c r="HD40" s="10"/>
      <c r="HE40" s="10"/>
      <c r="HF40" s="10"/>
      <c r="HG40" s="10"/>
      <c r="HH40" s="10"/>
      <c r="HI40" s="10"/>
      <c r="HJ40" s="10"/>
      <c r="HK40" s="10"/>
      <c r="HL40" s="10"/>
      <c r="HM40" s="10"/>
      <c r="HN40" s="10"/>
      <c r="HO40" s="10"/>
      <c r="HP40" s="10"/>
      <c r="HQ40" s="10"/>
      <c r="HR40" s="10"/>
      <c r="HS40" s="10"/>
      <c r="HT40" s="10"/>
      <c r="HU40" s="10"/>
      <c r="HV40" s="10"/>
      <c r="HW40" s="10"/>
      <c r="HX40" s="10"/>
      <c r="HY40" s="10"/>
      <c r="HZ40" s="10"/>
      <c r="IA40" s="10"/>
      <c r="IB40" s="10"/>
      <c r="IC40" s="10"/>
    </row>
  </sheetData>
  <conditionalFormatting sqref="B1 E1:IC1 F2:G7 B8:B9 E8:G8 E9:E11 G9:G10 B10:B13 F11:G11 E12:G12 E13:E15 G13:G14 B14:B18 F15:G15 E16:G17 E18:E24 G18:G23 B19:B26 F24:G24 E25:G25 E26:E28 G26:G27 B27:B29 F28:G28 E29:E35 G29:G34 B30:B36 F35:G35 E36:E39 G36:G39 B37:B39">
    <cfRule type="cellIs" dxfId="0" priority="1" operator="lessThan" stopIfTrue="1">
      <formula>0</formula>
    </cfRule>
  </conditionalFormatting>
  <pageMargins left="0.547244" right="0.11811" top="0.379134" bottom="0.204331" header="0.178346" footer="0.11811"/>
  <pageSetup firstPageNumber="1" fitToHeight="1" fitToWidth="1" scale="64" useFirstPageNumber="0" orientation="portrait" pageOrder="downThenOver"/>
  <headerFooter>
    <oddFooter>&amp;R&amp;"Arial1,Regular"&amp;14&amp;K000000&amp;P/&amp;N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